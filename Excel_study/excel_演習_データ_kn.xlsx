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211/Documents/個人/cursor/Excel_Master_01/"/>
    </mc:Choice>
  </mc:AlternateContent>
  <xr:revisionPtr revIDLastSave="0" documentId="13_ncr:1_{B8DB33A2-0F0B-DF45-BE31-9672E824AB4A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0_README" sheetId="1" r:id="rId1"/>
    <sheet name="1_売上" sheetId="2" r:id="rId2"/>
    <sheet name="2_端数_ROUND" sheetId="3" r:id="rId3"/>
    <sheet name="3_SUBTOTAL" sheetId="4" r:id="rId4"/>
    <sheet name="4_商品マスタ" sheetId="5" r:id="rId5"/>
    <sheet name="5_受注一覧" sheetId="6" r:id="rId6"/>
    <sheet name="6_日付" sheetId="7" r:id="rId7"/>
  </sheets>
  <definedNames>
    <definedName name="_xlnm._FilterDatabase" localSheetId="3" hidden="1">'3_SUBTOTAL'!$A$1:$D$6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H3" i="6"/>
  <c r="H4" i="6"/>
  <c r="H6" i="6"/>
  <c r="H2" i="6"/>
  <c r="G3" i="6"/>
  <c r="G4" i="6"/>
  <c r="G5" i="6"/>
  <c r="G6" i="6"/>
  <c r="G2" i="6"/>
  <c r="F3" i="6"/>
  <c r="F4" i="6"/>
  <c r="F5" i="6"/>
  <c r="F6" i="6"/>
  <c r="F2" i="6"/>
  <c r="A8" i="4"/>
  <c r="A9" i="4"/>
</calcChain>
</file>

<file path=xl/sharedStrings.xml><?xml version="1.0" encoding="utf-8"?>
<sst xmlns="http://schemas.openxmlformats.org/spreadsheetml/2006/main" count="86" uniqueCount="65">
  <si>
    <t>Excel演習データ（excel.md 対応）</t>
  </si>
  <si>
    <t>各シートの用途と、詳細な問題文は「excel_演習_問題と解答.md」を参照してください。</t>
  </si>
  <si>
    <t>シート一覧</t>
  </si>
  <si>
    <t>シート名</t>
  </si>
  <si>
    <t>内容</t>
  </si>
  <si>
    <t>1_売上</t>
  </si>
  <si>
    <t>SUM / SUMIF / SUMIFS / SUMPRODUCT</t>
  </si>
  <si>
    <t>2_端数_ROUND</t>
  </si>
  <si>
    <t>ROUND / ROUNDDOWN / ROUNDUP</t>
  </si>
  <si>
    <t>3_SUBTOTAL</t>
  </si>
  <si>
    <t>SUBTOTAL（フィルタ・小計行）</t>
  </si>
  <si>
    <t>4_商品マスタ</t>
  </si>
  <si>
    <t>VLOOKUP / XLOOKUP / IFERROR 用マスタ</t>
  </si>
  <si>
    <t>5_受注一覧</t>
  </si>
  <si>
    <t>VLOOKUP・LEFT・TRIM・COUNTIFS</t>
  </si>
  <si>
    <t>6_日付</t>
  </si>
  <si>
    <t>WORKDAY / NETWORKDAYS / EOMONTH / DATEDIF</t>
  </si>
  <si>
    <t>月</t>
  </si>
  <si>
    <t>担当</t>
  </si>
  <si>
    <t>カテゴリ</t>
  </si>
  <si>
    <t>金額</t>
  </si>
  <si>
    <t>演習用（ここに数式）</t>
  </si>
  <si>
    <t>田中</t>
  </si>
  <si>
    <t>備品</t>
  </si>
  <si>
    <t>消耗品</t>
  </si>
  <si>
    <t>佐藤</t>
  </si>
  <si>
    <t>■ 見積（SUMPRODUCT 用）</t>
  </si>
  <si>
    <t>品目</t>
  </si>
  <si>
    <t>単価</t>
  </si>
  <si>
    <t>数量</t>
  </si>
  <si>
    <t>ボルト</t>
  </si>
  <si>
    <t>ナット</t>
  </si>
  <si>
    <t>ワッシャ</t>
  </si>
  <si>
    <t>税抜金額</t>
  </si>
  <si>
    <t>消費税率</t>
  </si>
  <si>
    <t>演習：税込・端数処理（D列以降に数式）</t>
  </si>
  <si>
    <t>部門</t>
  </si>
  <si>
    <t>※ B2:B6 がデータ。オートフィルタをかけ、SUBTOTAL(9,...) と SUM の違いを確認。</t>
  </si>
  <si>
    <t>営業</t>
  </si>
  <si>
    <t>開発</t>
  </si>
  <si>
    <t>商品コード</t>
  </si>
  <si>
    <t>商品名</t>
  </si>
  <si>
    <t>標準単価</t>
  </si>
  <si>
    <t>P-1001</t>
  </si>
  <si>
    <t>六角ボルト M6</t>
  </si>
  <si>
    <t>P-1002</t>
  </si>
  <si>
    <t>六角ナット M6</t>
  </si>
  <si>
    <t>P-2001</t>
  </si>
  <si>
    <t>スチール板 2mm</t>
  </si>
  <si>
    <t>入力コード</t>
  </si>
  <si>
    <t>支店</t>
  </si>
  <si>
    <t>ステータス</t>
  </si>
  <si>
    <t>備考</t>
  </si>
  <si>
    <t>演習列（クリーニング・分類・参照）</t>
  </si>
  <si>
    <t xml:space="preserve">  P-1001  </t>
  </si>
  <si>
    <t>東京</t>
  </si>
  <si>
    <t>未入金</t>
  </si>
  <si>
    <t>大阪</t>
  </si>
  <si>
    <t>入金済</t>
  </si>
  <si>
    <t>Q-9001</t>
  </si>
  <si>
    <t xml:space="preserve">P-2001 </t>
  </si>
  <si>
    <t>名古屋</t>
  </si>
  <si>
    <t>契約開始日</t>
  </si>
  <si>
    <t>納期（固定日）</t>
  </si>
  <si>
    <t>祝日リスト（WORKDAY用・必要なら参照）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</si>
</sst>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ＭＳ Ｐゴシック"/>
      <family val="2"/>
      <scheme val="minor"/>
    </font>
    <font>
      <b/>
      <sz val="14"/>
      <name val="ＭＳ Ｐゴシック"/>
      <family val="2"/>
      <charset val="128"/>
    </font>
    <font>
      <b/>
      <sz val="11"/>
      <name val="ＭＳ Ｐゴシック"/>
      <family val="2"/>
      <charset val="128"/>
    </font>
    <font>
      <i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5"/>
      <color rgb="FF1A1A1A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176" fontId="0" fillId="0" borderId="0" xfId="0" applyNumberFormat="1"/>
    <xf numFmtId="0" fontId="2" fillId="2" borderId="0" xfId="0" applyFont="1" applyFill="1"/>
    <xf numFmtId="0" fontId="0" fillId="0" borderId="0" xfId="0"/>
    <xf numFmtId="0" fontId="5" fillId="0" borderId="0" xfId="0" applyFont="1"/>
    <xf numFmtId="0" fontId="5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G25" sqref="G25"/>
    </sheetView>
  </sheetViews>
  <sheetFormatPr baseColWidth="10" defaultColWidth="8.83203125" defaultRowHeight="14"/>
  <cols>
    <col min="1" max="1" width="22" customWidth="1"/>
    <col min="2" max="2" width="50" customWidth="1"/>
  </cols>
  <sheetData>
    <row r="1" spans="1:2" ht="17">
      <c r="A1" s="1" t="s">
        <v>0</v>
      </c>
    </row>
    <row r="3" spans="1:2">
      <c r="A3" t="s">
        <v>1</v>
      </c>
    </row>
    <row r="5" spans="1:2">
      <c r="A5" t="s">
        <v>2</v>
      </c>
    </row>
    <row r="6" spans="1:2">
      <c r="A6" t="s">
        <v>3</v>
      </c>
      <c r="B6" t="s">
        <v>4</v>
      </c>
    </row>
    <row r="7" spans="1:2">
      <c r="A7" t="s">
        <v>5</v>
      </c>
      <c r="B7" t="s">
        <v>6</v>
      </c>
    </row>
    <row r="8" spans="1:2">
      <c r="A8" t="s">
        <v>7</v>
      </c>
      <c r="B8" t="s">
        <v>8</v>
      </c>
    </row>
    <row r="9" spans="1:2">
      <c r="A9" t="s">
        <v>9</v>
      </c>
      <c r="B9" t="s">
        <v>10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16</v>
      </c>
    </row>
  </sheetData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="143" workbookViewId="0">
      <selection activeCell="F2" sqref="F2:F17"/>
    </sheetView>
  </sheetViews>
  <sheetFormatPr baseColWidth="10" defaultColWidth="8.83203125" defaultRowHeight="14"/>
  <sheetData>
    <row r="1" spans="1:7">
      <c r="A1" s="2" t="s">
        <v>17</v>
      </c>
      <c r="B1" s="2" t="s">
        <v>18</v>
      </c>
      <c r="C1" s="2" t="s">
        <v>19</v>
      </c>
      <c r="D1" s="2" t="s">
        <v>20</v>
      </c>
      <c r="F1" s="6" t="s">
        <v>21</v>
      </c>
      <c r="G1" s="7"/>
    </row>
    <row r="2" spans="1:7">
      <c r="A2">
        <v>4</v>
      </c>
      <c r="B2" t="s">
        <v>22</v>
      </c>
      <c r="C2" t="s">
        <v>23</v>
      </c>
      <c r="D2">
        <v>12000</v>
      </c>
    </row>
    <row r="3" spans="1:7">
      <c r="A3">
        <v>4</v>
      </c>
      <c r="B3" t="s">
        <v>22</v>
      </c>
      <c r="C3" t="s">
        <v>24</v>
      </c>
      <c r="D3">
        <v>8000</v>
      </c>
    </row>
    <row r="4" spans="1:7">
      <c r="A4">
        <v>4</v>
      </c>
      <c r="B4" t="s">
        <v>25</v>
      </c>
      <c r="C4" t="s">
        <v>23</v>
      </c>
      <c r="D4">
        <v>5000</v>
      </c>
    </row>
    <row r="5" spans="1:7">
      <c r="A5">
        <v>5</v>
      </c>
      <c r="B5" t="s">
        <v>22</v>
      </c>
      <c r="C5" t="s">
        <v>23</v>
      </c>
      <c r="D5">
        <v>15000</v>
      </c>
    </row>
    <row r="6" spans="1:7">
      <c r="A6">
        <v>5</v>
      </c>
      <c r="B6" t="s">
        <v>25</v>
      </c>
      <c r="C6" t="s">
        <v>23</v>
      </c>
      <c r="D6">
        <v>9000</v>
      </c>
    </row>
    <row r="7" spans="1:7">
      <c r="A7">
        <v>5</v>
      </c>
      <c r="B7" t="s">
        <v>25</v>
      </c>
      <c r="C7" t="s">
        <v>24</v>
      </c>
      <c r="D7">
        <v>3000</v>
      </c>
    </row>
    <row r="8" spans="1:7">
      <c r="A8">
        <v>6</v>
      </c>
      <c r="B8" t="s">
        <v>22</v>
      </c>
      <c r="C8" t="s">
        <v>24</v>
      </c>
      <c r="D8">
        <v>7000</v>
      </c>
    </row>
    <row r="12" spans="1:7">
      <c r="A12" s="2" t="s">
        <v>26</v>
      </c>
    </row>
    <row r="13" spans="1:7">
      <c r="A13" s="2" t="s">
        <v>27</v>
      </c>
      <c r="B13" s="2" t="s">
        <v>28</v>
      </c>
      <c r="C13" s="2" t="s">
        <v>29</v>
      </c>
    </row>
    <row r="14" spans="1:7">
      <c r="A14" t="s">
        <v>30</v>
      </c>
      <c r="B14">
        <v>12</v>
      </c>
      <c r="C14">
        <v>500</v>
      </c>
    </row>
    <row r="15" spans="1:7">
      <c r="A15" t="s">
        <v>31</v>
      </c>
      <c r="B15">
        <v>8</v>
      </c>
      <c r="C15">
        <v>500</v>
      </c>
    </row>
    <row r="16" spans="1:7">
      <c r="A16" t="s">
        <v>32</v>
      </c>
      <c r="B16">
        <v>3</v>
      </c>
      <c r="C16">
        <v>1000</v>
      </c>
    </row>
  </sheetData>
  <mergeCells count="1">
    <mergeCell ref="F1:G1"/>
  </mergeCells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="135" workbookViewId="0">
      <selection activeCell="J31" sqref="J31"/>
    </sheetView>
  </sheetViews>
  <sheetFormatPr baseColWidth="10" defaultColWidth="8.83203125" defaultRowHeight="14"/>
  <sheetData>
    <row r="1" spans="1:4">
      <c r="A1" s="2" t="s">
        <v>33</v>
      </c>
      <c r="B1" s="2" t="s">
        <v>34</v>
      </c>
      <c r="D1" s="3" t="s">
        <v>35</v>
      </c>
    </row>
    <row r="2" spans="1:4">
      <c r="A2">
        <v>12345</v>
      </c>
      <c r="B2">
        <v>0.1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="130" zoomScaleNormal="130" workbookViewId="0">
      <selection activeCell="C8" sqref="C8"/>
    </sheetView>
  </sheetViews>
  <sheetFormatPr baseColWidth="10" defaultColWidth="8.83203125" defaultRowHeight="14"/>
  <cols>
    <col min="1" max="1" width="16.33203125" customWidth="1"/>
  </cols>
  <sheetData>
    <row r="1" spans="1:4">
      <c r="A1" s="2" t="s">
        <v>36</v>
      </c>
      <c r="B1" s="2" t="s">
        <v>20</v>
      </c>
      <c r="D1" s="4" t="s">
        <v>37</v>
      </c>
    </row>
    <row r="2" spans="1:4">
      <c r="A2" t="s">
        <v>38</v>
      </c>
      <c r="B2">
        <v>100000</v>
      </c>
    </row>
    <row r="3" spans="1:4">
      <c r="A3" t="s">
        <v>38</v>
      </c>
      <c r="B3">
        <v>50000</v>
      </c>
    </row>
    <row r="4" spans="1:4">
      <c r="A4" t="s">
        <v>39</v>
      </c>
      <c r="B4">
        <v>80000</v>
      </c>
    </row>
    <row r="5" spans="1:4">
      <c r="A5" t="s">
        <v>39</v>
      </c>
      <c r="B5">
        <v>20000</v>
      </c>
    </row>
    <row r="6" spans="1:4">
      <c r="A6" t="s">
        <v>39</v>
      </c>
      <c r="B6">
        <v>15000</v>
      </c>
    </row>
    <row r="8" spans="1:4" ht="20">
      <c r="A8" s="9">
        <f>SUBTOTAL(9,B2:B6)</f>
        <v>265000</v>
      </c>
    </row>
    <row r="9" spans="1:4" ht="20">
      <c r="A9" s="8">
        <f>SUM(B2:B6)</f>
        <v>265000</v>
      </c>
    </row>
  </sheetData>
  <autoFilter ref="A1:D6" xr:uid="{00000000-0001-0000-0300-000000000000}"/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zoomScale="133" workbookViewId="0">
      <selection activeCell="G18" sqref="G18"/>
    </sheetView>
  </sheetViews>
  <sheetFormatPr baseColWidth="10" defaultColWidth="8.83203125" defaultRowHeight="14"/>
  <sheetData>
    <row r="1" spans="1:3">
      <c r="A1" s="2" t="s">
        <v>40</v>
      </c>
      <c r="B1" s="2" t="s">
        <v>41</v>
      </c>
      <c r="C1" s="2" t="s">
        <v>42</v>
      </c>
    </row>
    <row r="2" spans="1:3">
      <c r="A2" t="s">
        <v>43</v>
      </c>
      <c r="B2" t="s">
        <v>44</v>
      </c>
      <c r="C2">
        <v>15</v>
      </c>
    </row>
    <row r="3" spans="1:3">
      <c r="A3" t="s">
        <v>45</v>
      </c>
      <c r="B3" t="s">
        <v>46</v>
      </c>
      <c r="C3">
        <v>9</v>
      </c>
    </row>
    <row r="4" spans="1:3">
      <c r="A4" t="s">
        <v>47</v>
      </c>
      <c r="B4" t="s">
        <v>48</v>
      </c>
      <c r="C4">
        <v>3200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workbookViewId="0">
      <selection activeCell="H2" sqref="H2"/>
    </sheetView>
  </sheetViews>
  <sheetFormatPr baseColWidth="10" defaultColWidth="8.83203125" defaultRowHeight="14"/>
  <sheetData>
    <row r="1" spans="1:8">
      <c r="A1" s="2" t="s">
        <v>49</v>
      </c>
      <c r="B1" s="2" t="s">
        <v>50</v>
      </c>
      <c r="C1" s="2" t="s">
        <v>51</v>
      </c>
      <c r="D1" s="2" t="s">
        <v>52</v>
      </c>
      <c r="F1" s="3" t="s">
        <v>53</v>
      </c>
    </row>
    <row r="2" spans="1:8" ht="20">
      <c r="A2" t="s">
        <v>54</v>
      </c>
      <c r="B2" t="s">
        <v>55</v>
      </c>
      <c r="C2" t="s">
        <v>56</v>
      </c>
      <c r="F2" t="str">
        <f>TRIM(A2)</f>
        <v>P-1001</v>
      </c>
      <c r="G2" t="str">
        <f>LEFT(F2,2)</f>
        <v>P-</v>
      </c>
      <c r="H2" s="8" t="str">
        <f>VLOOKUP(F2,'4_商品マスタ'!$A$2:$C$4,2,FALSE)</f>
        <v>六角ボルト M6</v>
      </c>
    </row>
    <row r="3" spans="1:8" ht="20">
      <c r="A3" t="s">
        <v>45</v>
      </c>
      <c r="B3" t="s">
        <v>57</v>
      </c>
      <c r="C3" t="s">
        <v>58</v>
      </c>
      <c r="F3" t="str">
        <f t="shared" ref="F3:F6" si="0">TRIM(A3)</f>
        <v>P-1002</v>
      </c>
      <c r="G3" t="str">
        <f t="shared" ref="G3:G6" si="1">LEFT(F3,2)</f>
        <v>P-</v>
      </c>
      <c r="H3" s="8" t="str">
        <f>VLOOKUP(F3,'4_商品マスタ'!$A$2:$C$4,2,FALSE)</f>
        <v>六角ナット M6</v>
      </c>
    </row>
    <row r="4" spans="1:8" ht="20">
      <c r="A4" t="s">
        <v>43</v>
      </c>
      <c r="B4" t="s">
        <v>55</v>
      </c>
      <c r="C4" t="s">
        <v>56</v>
      </c>
      <c r="F4" t="str">
        <f t="shared" si="0"/>
        <v>P-1001</v>
      </c>
      <c r="G4" t="str">
        <f t="shared" si="1"/>
        <v>P-</v>
      </c>
      <c r="H4" s="8" t="str">
        <f>VLOOKUP(F4,'4_商品マスタ'!$A$2:$C$4,2,FALSE)</f>
        <v>六角ボルト M6</v>
      </c>
    </row>
    <row r="5" spans="1:8" ht="20">
      <c r="A5" t="s">
        <v>59</v>
      </c>
      <c r="B5" t="s">
        <v>55</v>
      </c>
      <c r="C5" t="s">
        <v>56</v>
      </c>
      <c r="F5" t="str">
        <f t="shared" si="0"/>
        <v>Q-9001</v>
      </c>
      <c r="G5" t="str">
        <f t="shared" si="1"/>
        <v>Q-</v>
      </c>
      <c r="H5" s="8" t="e">
        <f>VLOOKUP(F5,'4_商品マスタ'!$A$2:$C$4,2,FALSE)</f>
        <v>#N/A</v>
      </c>
    </row>
    <row r="6" spans="1:8" ht="20">
      <c r="A6" t="s">
        <v>60</v>
      </c>
      <c r="B6" t="s">
        <v>61</v>
      </c>
      <c r="C6" t="s">
        <v>58</v>
      </c>
      <c r="F6" t="str">
        <f t="shared" si="0"/>
        <v>P-2001</v>
      </c>
      <c r="G6" t="str">
        <f t="shared" si="1"/>
        <v>P-</v>
      </c>
      <c r="H6" s="8" t="str">
        <f>VLOOKUP(F6,'4_商品マスタ'!$A$2:$C$4,2,FALSE)</f>
        <v>スチール板 2mm</v>
      </c>
    </row>
  </sheetData>
  <phoneticPr fontId="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4"/>
  <sheetData>
    <row r="1" spans="1:3">
      <c r="A1" s="2" t="s">
        <v>62</v>
      </c>
      <c r="B1" s="2" t="s">
        <v>63</v>
      </c>
      <c r="C1" s="2" t="s">
        <v>64</v>
      </c>
    </row>
    <row r="2" spans="1:3">
      <c r="A2" s="5">
        <v>46083</v>
      </c>
      <c r="B2" s="5">
        <v>46142</v>
      </c>
      <c r="C2" s="5">
        <v>46101</v>
      </c>
    </row>
    <row r="3" spans="1:3">
      <c r="C3" s="5">
        <v>46141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0_README</vt:lpstr>
      <vt:lpstr>1_売上</vt:lpstr>
      <vt:lpstr>2_端数_ROUND</vt:lpstr>
      <vt:lpstr>3_SUBTOTAL</vt:lpstr>
      <vt:lpstr>4_商品マスタ</vt:lpstr>
      <vt:lpstr>5_受注一覧</vt:lpstr>
      <vt:lpstr>6_日付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Nomura, Kengo</cp:lastModifiedBy>
  <dcterms:created xsi:type="dcterms:W3CDTF">2026-04-10T12:57:50Z</dcterms:created>
  <dcterms:modified xsi:type="dcterms:W3CDTF">2026-04-15T03:17:36Z</dcterms:modified>
</cp:coreProperties>
</file>